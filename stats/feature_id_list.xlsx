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4770224\Documents\GitHub\Spectral-Analysis\stats\"/>
    </mc:Choice>
  </mc:AlternateContent>
  <xr:revisionPtr revIDLastSave="0" documentId="13_ncr:1_{0B74D0C2-B629-4521-91E5-3DD85D5589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</calcChain>
</file>

<file path=xl/sharedStrings.xml><?xml version="1.0" encoding="utf-8"?>
<sst xmlns="http://schemas.openxmlformats.org/spreadsheetml/2006/main" count="40" uniqueCount="40">
  <si>
    <t xml:space="preserve"> ('acrocarpia', 'melbourne') has 29 spectral features</t>
  </si>
  <si>
    <t xml:space="preserve"> ('barnacle_shells', 'tasmania') has 15 spectral features</t>
  </si>
  <si>
    <t xml:space="preserve"> ('carpophyllum', 'new_zealand') has 23 spectral features</t>
  </si>
  <si>
    <t xml:space="preserve"> ('cystophora', 'melbourne') has 9 spectral features</t>
  </si>
  <si>
    <t xml:space="preserve"> ('cystophora', 'new_zealand') has 7 spectral features</t>
  </si>
  <si>
    <t xml:space="preserve"> ('durvillaea', 'melbourne') has 27 spectral features</t>
  </si>
  <si>
    <t xml:space="preserve"> ('durvillaea', 'new_zealand') has 12 spectral features</t>
  </si>
  <si>
    <t xml:space="preserve"> ('durvillaea', 'tasmania') has 11 spectral features</t>
  </si>
  <si>
    <t xml:space="preserve"> ('ecklonia', 'melbourne') has 9 spectral features</t>
  </si>
  <si>
    <t xml:space="preserve"> ('ecklonia', 'new_zealand') has 7 spectral features</t>
  </si>
  <si>
    <t xml:space="preserve"> ('ecklonia', 'tasmania') has 24 spectral features</t>
  </si>
  <si>
    <t xml:space="preserve"> ('filamentous_rhodophyte', 'new_zealand') has 13 spectral features</t>
  </si>
  <si>
    <t xml:space="preserve"> ('filamentous_rhodophyte', 'tasmania') has 41 spectral features</t>
  </si>
  <si>
    <t xml:space="preserve"> ('frondose_rhodophyte', 'tasmania') has 36 spectral features</t>
  </si>
  <si>
    <t xml:space="preserve"> ('grass', 'new_zealand') has 5 spectral features</t>
  </si>
  <si>
    <t xml:space="preserve"> ('gravel', 'new_zealand') has 15 spectral features</t>
  </si>
  <si>
    <t xml:space="preserve"> ('hormosira', 'melbourne') has 21 spectral features</t>
  </si>
  <si>
    <t xml:space="preserve"> ('hormosira', 'tasmania') has 36 spectral features</t>
  </si>
  <si>
    <t xml:space="preserve"> ('macrocystis', 'new_zealand') has 9 spectral features</t>
  </si>
  <si>
    <t xml:space="preserve"> ('macrocystis', 'tasmania') has 23 spectral features</t>
  </si>
  <si>
    <t xml:space="preserve"> ('mussels', 'melbourne') has 21 spectral features</t>
  </si>
  <si>
    <t xml:space="preserve"> ('petalonia', 'tasmania') has 15 spectral features</t>
  </si>
  <si>
    <t xml:space="preserve"> ('phyllospora', 'melbourne') has 38 spectral features</t>
  </si>
  <si>
    <t xml:space="preserve"> ('phyllospora', 'tasmania') has 12 spectral features</t>
  </si>
  <si>
    <t xml:space="preserve"> ('rock', 'melbourne') has 34 spectral features</t>
  </si>
  <si>
    <t xml:space="preserve"> ('rock', 'new_zealand') has 19 spectral features</t>
  </si>
  <si>
    <t xml:space="preserve"> ('rock', 'tasmania') has 22 spectral features</t>
  </si>
  <si>
    <t xml:space="preserve"> ('sand', 'melbourne') has 12 spectral features</t>
  </si>
  <si>
    <t xml:space="preserve"> ('sand', 'tasmania') has 30 spectral features</t>
  </si>
  <si>
    <t xml:space="preserve"> ('sargassum', 'tasmania') has 9 spectral features</t>
  </si>
  <si>
    <t xml:space="preserve"> ('scytosiphon', 'tasmania') has 17 spectral features</t>
  </si>
  <si>
    <t xml:space="preserve"> ('shell_litter', 'tasmania') has 16 spectral features</t>
  </si>
  <si>
    <t xml:space="preserve"> ('ulva', 'tasmania') has 25 spectral features</t>
  </si>
  <si>
    <t xml:space="preserve"> ('undaria', 'new_zealand') has 9 spectral features</t>
  </si>
  <si>
    <t xml:space="preserve"> ('undaria', 'tasmania') has 17 spectral features</t>
  </si>
  <si>
    <t xml:space="preserve"> ('worm_castings', 'tasmania') has 9 spectral features</t>
  </si>
  <si>
    <t>Site</t>
  </si>
  <si>
    <t>Identity</t>
  </si>
  <si>
    <t>460-925</t>
  </si>
  <si>
    <t>460-800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</si>
</sst>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topLeftCell="F1" workbookViewId="0">
      <selection activeCell="M1" sqref="M1"/>
    </sheetView>
  </sheetViews>
  <sheetFormatPr defaultRowHeight="15" x14ac:dyDescent="0.25"/>
  <cols>
    <col min="10" max="10" width="23.85546875" customWidth="1"/>
    <col min="11" max="11" width="39.85546875" customWidth="1"/>
  </cols>
  <sheetData>
    <row r="1" spans="1:24" x14ac:dyDescent="0.25">
      <c r="J1" t="s">
        <v>37</v>
      </c>
      <c r="K1" t="s">
        <v>36</v>
      </c>
      <c r="L1" t="s">
        <v>38</v>
      </c>
      <c r="M1" t="s">
        <v>39</v>
      </c>
    </row>
    <row r="2" spans="1:24" x14ac:dyDescent="0.25">
      <c r="A2" t="s">
        <v>0</v>
      </c>
      <c r="I2" s="1" t="str">
        <f>MID(A2,FIND("has ",A2)+4,2)</f>
        <v>29</v>
      </c>
      <c r="J2" t="str">
        <f>MID(A2,4,FIND(",",A2)-5)</f>
        <v>acrocarpia</v>
      </c>
      <c r="K2" t="str">
        <f>MID(A2,FIND(",",A2)+3, FIND(")", A2)-FIND(",",A2)-4)</f>
        <v>melbourne</v>
      </c>
      <c r="L2" s="2">
        <v>29</v>
      </c>
      <c r="M2" s="2">
        <v>10</v>
      </c>
      <c r="X2" s="2"/>
    </row>
    <row r="3" spans="1:24" x14ac:dyDescent="0.25">
      <c r="A3" t="s">
        <v>1</v>
      </c>
      <c r="I3" s="1" t="str">
        <f t="shared" ref="I3:I37" si="0">MID(A3,FIND("has ",A3)+4,2)</f>
        <v>15</v>
      </c>
      <c r="J3" t="str">
        <f t="shared" ref="J3:J37" si="1">MID(A3,4,FIND(",",A3)-5)</f>
        <v>barnacle_shells</v>
      </c>
      <c r="K3" t="str">
        <f t="shared" ref="K3:K37" si="2">MID(A3,FIND(",",A3)+3, FIND(")", A3)-FIND(",",A3)-4)</f>
        <v>tasmania</v>
      </c>
      <c r="L3" s="2">
        <v>15</v>
      </c>
      <c r="M3" s="2">
        <v>4</v>
      </c>
      <c r="X3" s="2"/>
    </row>
    <row r="4" spans="1:24" x14ac:dyDescent="0.25">
      <c r="A4" t="s">
        <v>2</v>
      </c>
      <c r="I4" s="1" t="str">
        <f t="shared" si="0"/>
        <v>23</v>
      </c>
      <c r="J4" t="str">
        <f t="shared" si="1"/>
        <v>carpophyllum</v>
      </c>
      <c r="K4" t="str">
        <f t="shared" si="2"/>
        <v>new_zealand</v>
      </c>
      <c r="L4" s="2">
        <v>23</v>
      </c>
      <c r="M4" s="2">
        <v>13</v>
      </c>
      <c r="X4" s="2"/>
    </row>
    <row r="5" spans="1:24" x14ac:dyDescent="0.25">
      <c r="A5" t="s">
        <v>3</v>
      </c>
      <c r="I5" s="1" t="str">
        <f t="shared" si="0"/>
        <v xml:space="preserve">9 </v>
      </c>
      <c r="J5" t="str">
        <f t="shared" si="1"/>
        <v>cystophora</v>
      </c>
      <c r="K5" t="str">
        <f t="shared" si="2"/>
        <v>melbourne</v>
      </c>
      <c r="L5" s="2">
        <v>9</v>
      </c>
      <c r="M5" s="2">
        <v>9</v>
      </c>
      <c r="X5" s="2"/>
    </row>
    <row r="6" spans="1:24" x14ac:dyDescent="0.25">
      <c r="A6" t="s">
        <v>4</v>
      </c>
      <c r="I6" s="1" t="str">
        <f t="shared" si="0"/>
        <v xml:space="preserve">7 </v>
      </c>
      <c r="J6" t="str">
        <f t="shared" si="1"/>
        <v>cystophora</v>
      </c>
      <c r="K6" t="str">
        <f t="shared" si="2"/>
        <v>new_zealand</v>
      </c>
      <c r="L6" s="2">
        <v>7</v>
      </c>
      <c r="M6" s="2">
        <v>11</v>
      </c>
      <c r="X6" s="2"/>
    </row>
    <row r="7" spans="1:24" x14ac:dyDescent="0.25">
      <c r="A7" t="s">
        <v>5</v>
      </c>
      <c r="I7" s="1" t="str">
        <f t="shared" si="0"/>
        <v>27</v>
      </c>
      <c r="J7" t="str">
        <f t="shared" si="1"/>
        <v>durvillaea</v>
      </c>
      <c r="K7" t="str">
        <f t="shared" si="2"/>
        <v>melbourne</v>
      </c>
      <c r="L7" s="2">
        <v>27</v>
      </c>
      <c r="M7" s="2">
        <v>15</v>
      </c>
      <c r="X7" s="2"/>
    </row>
    <row r="8" spans="1:24" x14ac:dyDescent="0.25">
      <c r="A8" t="s">
        <v>6</v>
      </c>
      <c r="I8" s="1" t="str">
        <f t="shared" si="0"/>
        <v>12</v>
      </c>
      <c r="J8" t="str">
        <f t="shared" si="1"/>
        <v>durvillaea</v>
      </c>
      <c r="K8" t="str">
        <f t="shared" si="2"/>
        <v>new_zealand</v>
      </c>
      <c r="L8" s="2">
        <v>12</v>
      </c>
      <c r="M8" s="2">
        <v>11</v>
      </c>
      <c r="X8" s="2"/>
    </row>
    <row r="9" spans="1:24" x14ac:dyDescent="0.25">
      <c r="A9" t="s">
        <v>7</v>
      </c>
      <c r="I9" s="1" t="str">
        <f t="shared" si="0"/>
        <v>11</v>
      </c>
      <c r="J9" t="str">
        <f t="shared" si="1"/>
        <v>durvillaea</v>
      </c>
      <c r="K9" t="str">
        <f t="shared" si="2"/>
        <v>tasmania</v>
      </c>
      <c r="L9" s="2">
        <v>11</v>
      </c>
      <c r="M9" s="2">
        <v>7</v>
      </c>
      <c r="X9" s="2"/>
    </row>
    <row r="10" spans="1:24" x14ac:dyDescent="0.25">
      <c r="A10" t="s">
        <v>8</v>
      </c>
      <c r="I10" s="1" t="str">
        <f t="shared" si="0"/>
        <v xml:space="preserve">9 </v>
      </c>
      <c r="J10" t="str">
        <f t="shared" si="1"/>
        <v>ecklonia</v>
      </c>
      <c r="K10" t="str">
        <f t="shared" si="2"/>
        <v>melbourne</v>
      </c>
      <c r="L10" s="2">
        <v>9</v>
      </c>
      <c r="M10" s="2">
        <v>6</v>
      </c>
      <c r="X10" s="2"/>
    </row>
    <row r="11" spans="1:24" x14ac:dyDescent="0.25">
      <c r="A11" t="s">
        <v>9</v>
      </c>
      <c r="I11" s="1" t="str">
        <f t="shared" si="0"/>
        <v xml:space="preserve">7 </v>
      </c>
      <c r="J11" t="str">
        <f t="shared" si="1"/>
        <v>ecklonia</v>
      </c>
      <c r="K11" t="str">
        <f t="shared" si="2"/>
        <v>new_zealand</v>
      </c>
      <c r="L11" s="2">
        <v>7</v>
      </c>
      <c r="M11" s="2">
        <v>11</v>
      </c>
      <c r="X11" s="2"/>
    </row>
    <row r="12" spans="1:24" x14ac:dyDescent="0.25">
      <c r="A12" t="s">
        <v>10</v>
      </c>
      <c r="I12" s="1" t="str">
        <f t="shared" si="0"/>
        <v>24</v>
      </c>
      <c r="J12" t="str">
        <f t="shared" si="1"/>
        <v>ecklonia</v>
      </c>
      <c r="K12" t="str">
        <f t="shared" si="2"/>
        <v>tasmania</v>
      </c>
      <c r="L12" s="2">
        <v>24</v>
      </c>
      <c r="M12" s="2">
        <v>18</v>
      </c>
      <c r="X12" s="2"/>
    </row>
    <row r="13" spans="1:24" x14ac:dyDescent="0.25">
      <c r="A13" t="s">
        <v>11</v>
      </c>
      <c r="I13" s="1" t="str">
        <f t="shared" si="0"/>
        <v>13</v>
      </c>
      <c r="J13" t="str">
        <f t="shared" si="1"/>
        <v>filamentous_rhodophyte</v>
      </c>
      <c r="K13" t="str">
        <f t="shared" si="2"/>
        <v>new_zealand</v>
      </c>
      <c r="L13" s="2">
        <v>13</v>
      </c>
      <c r="M13" s="2">
        <v>15</v>
      </c>
      <c r="X13" s="2"/>
    </row>
    <row r="14" spans="1:24" x14ac:dyDescent="0.25">
      <c r="A14" t="s">
        <v>12</v>
      </c>
      <c r="I14" s="1" t="str">
        <f t="shared" si="0"/>
        <v>41</v>
      </c>
      <c r="J14" t="str">
        <f t="shared" si="1"/>
        <v>filamentous_rhodophyte</v>
      </c>
      <c r="K14" t="str">
        <f t="shared" si="2"/>
        <v>tasmania</v>
      </c>
      <c r="L14" s="2">
        <v>41</v>
      </c>
      <c r="M14" s="2">
        <v>31</v>
      </c>
      <c r="X14" s="2"/>
    </row>
    <row r="15" spans="1:24" x14ac:dyDescent="0.25">
      <c r="A15" t="s">
        <v>13</v>
      </c>
      <c r="I15" s="1" t="str">
        <f t="shared" si="0"/>
        <v>36</v>
      </c>
      <c r="J15" t="str">
        <f t="shared" si="1"/>
        <v>frondose_rhodophyte</v>
      </c>
      <c r="K15" t="str">
        <f t="shared" si="2"/>
        <v>tasmania</v>
      </c>
      <c r="L15" s="2">
        <v>36</v>
      </c>
      <c r="M15" s="2">
        <v>21</v>
      </c>
      <c r="X15" s="2"/>
    </row>
    <row r="16" spans="1:24" x14ac:dyDescent="0.25">
      <c r="A16" t="s">
        <v>14</v>
      </c>
      <c r="I16" s="1" t="str">
        <f t="shared" si="0"/>
        <v xml:space="preserve">5 </v>
      </c>
      <c r="J16" t="str">
        <f t="shared" si="1"/>
        <v>grass</v>
      </c>
      <c r="K16" t="str">
        <f t="shared" si="2"/>
        <v>new_zealand</v>
      </c>
      <c r="L16" s="2">
        <v>5</v>
      </c>
      <c r="M16" s="2">
        <v>8</v>
      </c>
      <c r="X16" s="2"/>
    </row>
    <row r="17" spans="1:24" x14ac:dyDescent="0.25">
      <c r="A17" t="s">
        <v>15</v>
      </c>
      <c r="I17" s="1" t="str">
        <f t="shared" si="0"/>
        <v>15</v>
      </c>
      <c r="J17" t="str">
        <f t="shared" si="1"/>
        <v>gravel</v>
      </c>
      <c r="K17" t="str">
        <f t="shared" si="2"/>
        <v>new_zealand</v>
      </c>
      <c r="L17" s="2">
        <v>15</v>
      </c>
      <c r="M17" s="2">
        <v>14</v>
      </c>
      <c r="X17" s="2"/>
    </row>
    <row r="18" spans="1:24" x14ac:dyDescent="0.25">
      <c r="A18" t="s">
        <v>16</v>
      </c>
      <c r="I18" s="1" t="str">
        <f t="shared" si="0"/>
        <v>21</v>
      </c>
      <c r="J18" t="str">
        <f t="shared" si="1"/>
        <v>hormosira</v>
      </c>
      <c r="K18" t="str">
        <f t="shared" si="2"/>
        <v>melbourne</v>
      </c>
      <c r="L18" s="2">
        <v>21</v>
      </c>
      <c r="M18" s="2">
        <v>9</v>
      </c>
      <c r="X18" s="2"/>
    </row>
    <row r="19" spans="1:24" x14ac:dyDescent="0.25">
      <c r="A19" t="s">
        <v>17</v>
      </c>
      <c r="I19" s="1" t="str">
        <f t="shared" si="0"/>
        <v>36</v>
      </c>
      <c r="J19" t="str">
        <f t="shared" si="1"/>
        <v>hormosira</v>
      </c>
      <c r="K19" t="str">
        <f t="shared" si="2"/>
        <v>tasmania</v>
      </c>
      <c r="L19" s="2">
        <v>36</v>
      </c>
      <c r="M19" s="2">
        <v>11</v>
      </c>
      <c r="X19" s="2"/>
    </row>
    <row r="20" spans="1:24" x14ac:dyDescent="0.25">
      <c r="A20" t="s">
        <v>18</v>
      </c>
      <c r="I20" s="1" t="str">
        <f t="shared" si="0"/>
        <v xml:space="preserve">9 </v>
      </c>
      <c r="J20" t="str">
        <f t="shared" si="1"/>
        <v>macrocystis</v>
      </c>
      <c r="K20" t="str">
        <f t="shared" si="2"/>
        <v>new_zealand</v>
      </c>
      <c r="L20" s="2">
        <v>9</v>
      </c>
      <c r="M20" s="2">
        <v>9</v>
      </c>
      <c r="X20" s="2"/>
    </row>
    <row r="21" spans="1:24" x14ac:dyDescent="0.25">
      <c r="A21" t="s">
        <v>19</v>
      </c>
      <c r="I21" s="1" t="str">
        <f t="shared" si="0"/>
        <v>23</v>
      </c>
      <c r="J21" t="str">
        <f t="shared" si="1"/>
        <v>macrocystis</v>
      </c>
      <c r="K21" t="str">
        <f t="shared" si="2"/>
        <v>tasmania</v>
      </c>
      <c r="L21" s="2">
        <v>23</v>
      </c>
      <c r="M21" s="2">
        <v>9</v>
      </c>
      <c r="X21" s="2"/>
    </row>
    <row r="22" spans="1:24" x14ac:dyDescent="0.25">
      <c r="A22" t="s">
        <v>20</v>
      </c>
      <c r="I22" s="1" t="str">
        <f t="shared" si="0"/>
        <v>21</v>
      </c>
      <c r="J22" t="str">
        <f t="shared" si="1"/>
        <v>mussels</v>
      </c>
      <c r="K22" t="str">
        <f t="shared" si="2"/>
        <v>melbourne</v>
      </c>
      <c r="L22" s="2">
        <v>21</v>
      </c>
      <c r="M22" s="2">
        <v>25</v>
      </c>
      <c r="X22" s="2"/>
    </row>
    <row r="23" spans="1:24" x14ac:dyDescent="0.25">
      <c r="A23" t="s">
        <v>21</v>
      </c>
      <c r="I23" s="1" t="str">
        <f t="shared" si="0"/>
        <v>15</v>
      </c>
      <c r="J23" t="str">
        <f t="shared" si="1"/>
        <v>petalonia</v>
      </c>
      <c r="K23" t="str">
        <f t="shared" si="2"/>
        <v>tasmania</v>
      </c>
      <c r="L23" s="2">
        <v>15</v>
      </c>
      <c r="M23" s="2">
        <v>11</v>
      </c>
      <c r="X23" s="2"/>
    </row>
    <row r="24" spans="1:24" x14ac:dyDescent="0.25">
      <c r="A24" t="s">
        <v>22</v>
      </c>
      <c r="I24" s="1" t="str">
        <f t="shared" si="0"/>
        <v>38</v>
      </c>
      <c r="J24" t="str">
        <f t="shared" si="1"/>
        <v>phyllospora</v>
      </c>
      <c r="K24" t="str">
        <f t="shared" si="2"/>
        <v>melbourne</v>
      </c>
      <c r="L24" s="2">
        <v>38</v>
      </c>
      <c r="M24" s="2">
        <v>19</v>
      </c>
      <c r="X24" s="2"/>
    </row>
    <row r="25" spans="1:24" x14ac:dyDescent="0.25">
      <c r="A25" t="s">
        <v>23</v>
      </c>
      <c r="I25" s="1" t="str">
        <f t="shared" si="0"/>
        <v>12</v>
      </c>
      <c r="J25" t="str">
        <f t="shared" si="1"/>
        <v>phyllospora</v>
      </c>
      <c r="K25" t="str">
        <f t="shared" si="2"/>
        <v>tasmania</v>
      </c>
      <c r="L25" s="2">
        <v>12</v>
      </c>
      <c r="M25" s="2">
        <v>10</v>
      </c>
      <c r="X25" s="2"/>
    </row>
    <row r="26" spans="1:24" x14ac:dyDescent="0.25">
      <c r="A26" t="s">
        <v>24</v>
      </c>
      <c r="I26" s="1" t="str">
        <f t="shared" si="0"/>
        <v>34</v>
      </c>
      <c r="J26" t="str">
        <f t="shared" si="1"/>
        <v>rock</v>
      </c>
      <c r="K26" t="str">
        <f t="shared" si="2"/>
        <v>melbourne</v>
      </c>
      <c r="L26" s="2">
        <v>34</v>
      </c>
      <c r="M26" s="2">
        <v>25</v>
      </c>
      <c r="X26" s="2"/>
    </row>
    <row r="27" spans="1:24" x14ac:dyDescent="0.25">
      <c r="A27" t="s">
        <v>25</v>
      </c>
      <c r="I27" s="1" t="str">
        <f t="shared" si="0"/>
        <v>19</v>
      </c>
      <c r="J27" t="str">
        <f t="shared" si="1"/>
        <v>rock</v>
      </c>
      <c r="K27" t="str">
        <f t="shared" si="2"/>
        <v>new_zealand</v>
      </c>
      <c r="L27" s="2">
        <v>19</v>
      </c>
      <c r="M27" s="2">
        <v>15</v>
      </c>
      <c r="X27" s="2"/>
    </row>
    <row r="28" spans="1:24" x14ac:dyDescent="0.25">
      <c r="A28" t="s">
        <v>26</v>
      </c>
      <c r="I28" s="1" t="str">
        <f t="shared" si="0"/>
        <v>22</v>
      </c>
      <c r="J28" t="str">
        <f t="shared" si="1"/>
        <v>rock</v>
      </c>
      <c r="K28" t="str">
        <f t="shared" si="2"/>
        <v>tasmania</v>
      </c>
      <c r="L28" s="2">
        <v>22</v>
      </c>
      <c r="M28" s="2">
        <v>14</v>
      </c>
      <c r="X28" s="2"/>
    </row>
    <row r="29" spans="1:24" x14ac:dyDescent="0.25">
      <c r="A29" t="s">
        <v>27</v>
      </c>
      <c r="I29" s="1" t="str">
        <f t="shared" si="0"/>
        <v>12</v>
      </c>
      <c r="J29" t="str">
        <f t="shared" si="1"/>
        <v>sand</v>
      </c>
      <c r="K29" t="str">
        <f t="shared" si="2"/>
        <v>melbourne</v>
      </c>
      <c r="L29" s="2">
        <v>12</v>
      </c>
      <c r="M29" s="2">
        <v>8</v>
      </c>
      <c r="X29" s="2"/>
    </row>
    <row r="30" spans="1:24" x14ac:dyDescent="0.25">
      <c r="A30" t="s">
        <v>28</v>
      </c>
      <c r="I30" s="1" t="str">
        <f t="shared" si="0"/>
        <v>30</v>
      </c>
      <c r="J30" t="str">
        <f t="shared" si="1"/>
        <v>sand</v>
      </c>
      <c r="K30" t="str">
        <f t="shared" si="2"/>
        <v>tasmania</v>
      </c>
      <c r="L30" s="2">
        <v>30</v>
      </c>
      <c r="M30" s="2">
        <v>34</v>
      </c>
      <c r="X30" s="2"/>
    </row>
    <row r="31" spans="1:24" x14ac:dyDescent="0.25">
      <c r="A31" t="s">
        <v>29</v>
      </c>
      <c r="I31" s="1" t="str">
        <f t="shared" si="0"/>
        <v xml:space="preserve">9 </v>
      </c>
      <c r="J31" t="str">
        <f t="shared" si="1"/>
        <v>sargassum</v>
      </c>
      <c r="K31" t="str">
        <f t="shared" si="2"/>
        <v>tasmania</v>
      </c>
      <c r="L31" s="2">
        <v>9</v>
      </c>
      <c r="M31" s="2">
        <v>7</v>
      </c>
      <c r="X31" s="2"/>
    </row>
    <row r="32" spans="1:24" x14ac:dyDescent="0.25">
      <c r="A32" t="s">
        <v>30</v>
      </c>
      <c r="I32" s="1" t="str">
        <f t="shared" si="0"/>
        <v>17</v>
      </c>
      <c r="J32" t="str">
        <f t="shared" si="1"/>
        <v>scytosiphon</v>
      </c>
      <c r="K32" t="str">
        <f t="shared" si="2"/>
        <v>tasmania</v>
      </c>
      <c r="L32" s="2">
        <v>17</v>
      </c>
      <c r="M32" s="2">
        <v>7</v>
      </c>
      <c r="X32" s="2"/>
    </row>
    <row r="33" spans="1:24" x14ac:dyDescent="0.25">
      <c r="A33" t="s">
        <v>31</v>
      </c>
      <c r="I33" s="1" t="str">
        <f t="shared" si="0"/>
        <v>16</v>
      </c>
      <c r="J33" t="str">
        <f t="shared" si="1"/>
        <v>shell_litter</v>
      </c>
      <c r="K33" t="str">
        <f t="shared" si="2"/>
        <v>tasmania</v>
      </c>
      <c r="L33" s="2">
        <v>16</v>
      </c>
      <c r="M33" s="2">
        <v>23</v>
      </c>
      <c r="X33" s="2"/>
    </row>
    <row r="34" spans="1:24" x14ac:dyDescent="0.25">
      <c r="A34" t="s">
        <v>32</v>
      </c>
      <c r="I34" s="1" t="str">
        <f t="shared" si="0"/>
        <v>25</v>
      </c>
      <c r="J34" t="str">
        <f t="shared" si="1"/>
        <v>ulva</v>
      </c>
      <c r="K34" t="str">
        <f t="shared" si="2"/>
        <v>tasmania</v>
      </c>
      <c r="L34" s="2">
        <v>25</v>
      </c>
      <c r="M34" s="2">
        <v>9</v>
      </c>
      <c r="X34" s="2"/>
    </row>
    <row r="35" spans="1:24" x14ac:dyDescent="0.25">
      <c r="A35" t="s">
        <v>33</v>
      </c>
      <c r="I35" s="1" t="str">
        <f t="shared" si="0"/>
        <v xml:space="preserve">9 </v>
      </c>
      <c r="J35" t="str">
        <f t="shared" si="1"/>
        <v>undaria</v>
      </c>
      <c r="K35" t="str">
        <f t="shared" si="2"/>
        <v>new_zealand</v>
      </c>
      <c r="L35" s="2">
        <v>9</v>
      </c>
      <c r="M35" s="2">
        <v>11</v>
      </c>
      <c r="X35" s="2"/>
    </row>
    <row r="36" spans="1:24" x14ac:dyDescent="0.25">
      <c r="A36" t="s">
        <v>34</v>
      </c>
      <c r="I36" s="1" t="str">
        <f t="shared" si="0"/>
        <v>17</v>
      </c>
      <c r="J36" t="str">
        <f t="shared" si="1"/>
        <v>undaria</v>
      </c>
      <c r="K36" t="str">
        <f t="shared" si="2"/>
        <v>tasmania</v>
      </c>
      <c r="L36" s="2">
        <v>17</v>
      </c>
      <c r="M36" s="2">
        <v>12</v>
      </c>
      <c r="X36" s="2"/>
    </row>
    <row r="37" spans="1:24" x14ac:dyDescent="0.25">
      <c r="A37" t="s">
        <v>35</v>
      </c>
      <c r="I37" s="1" t="str">
        <f t="shared" si="0"/>
        <v xml:space="preserve">9 </v>
      </c>
      <c r="J37" t="str">
        <f t="shared" si="1"/>
        <v>worm_castings</v>
      </c>
      <c r="K37" t="str">
        <f t="shared" si="2"/>
        <v>tasmania</v>
      </c>
      <c r="L37" s="2">
        <v>9</v>
      </c>
      <c r="M37" s="2">
        <v>4</v>
      </c>
      <c r="X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Rowan</dc:creator>
  <cp:lastModifiedBy>Gillian Rowan</cp:lastModifiedBy>
  <dcterms:created xsi:type="dcterms:W3CDTF">2015-06-05T18:17:20Z</dcterms:created>
  <dcterms:modified xsi:type="dcterms:W3CDTF">2025-08-10T03:04:56Z</dcterms:modified>
</cp:coreProperties>
</file>